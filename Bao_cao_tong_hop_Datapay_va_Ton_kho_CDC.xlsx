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ổng Quan &amp; KPI" sheetId="1" r:id="rId1"/>
    <sheet name="Chi Tiết Loại Lỗi" sheetId="2" r:id="rId2"/>
    <sheet name="Ngành Hàng" sheetId="3" r:id="rId3"/>
    <sheet name="Datapay Tồn Kho" sheetId="4" r:id="rId4"/>
    <sheet name="Danh Mục Bảng CD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<sst xmlns="http://schemas.openxmlformats.org/spreadsheetml/2006/main" count="163" uniqueCount="150">
  <si>
    <t>BÁO CÁO TỔNG HỢP CÁC LOẠI DATAPAY &amp; TỒN KHO TRÊN CDC (KFM - SCM)</t>
  </si>
  <si>
    <t>Nguồn dữ liệu: StarRocks (kfm_scm@103.147.122.103:9030) | Thời gian kết xuất: 04/09/2026</t>
  </si>
  <si>
    <t>1. TỔNG HỢP GIÁ TRỊ DATAPAY THEO TRÁCH NHIỆM BỒI HOÀN</t>
  </si>
  <si>
    <t>Nhóm Trách Nhiệm</t>
  </si>
  <si>
    <t>Số Tiền (VNĐ)</t>
  </si>
  <si>
    <t>Tỷ Lệ (%)</t>
  </si>
  <si>
    <t>Bản Chất Nghiệp Vụ</t>
  </si>
  <si>
    <t>Phạt Kho DC (Warehouse Penalty)</t>
  </si>
  <si>
    <t>Lỗi từ kho: Soạn thiếu kiện, nhặt sai mã SKU, giao sai điểm</t>
  </si>
  <si>
    <t>Phạt Siêu thị (Store Penalty)</t>
  </si>
  <si>
    <t>Lỗi từ ST: Nhập thiếu thực nhận, kiểm sai quy trình, trả tồn</t>
  </si>
  <si>
    <t>Hao hụt tự nhiên (Natural Loss)</t>
  </si>
  <si>
    <t>Định mức</t>
  </si>
  <si>
    <t>Hao hụt trọng lượng tự nhiên trong định mức rau củ quả (không phạt)</t>
  </si>
  <si>
    <t>Chưa xác định (Undetermined)</t>
  </si>
  <si>
    <t>Các case đang trong thời gian đối chiếu trích xuất camera</t>
  </si>
  <si>
    <t>TỔNG TIỀN PHẠT DATAPAY (GRAND TOTAL)</t>
  </si>
  <si>
    <t>Tổng tiền phát sinh phạt cần bồi hoàn (trừ hao hụt tự nhiên)</t>
  </si>
  <si>
    <t>2. CHỈ SỐ VẬN HÀNH CHÍNH (KEY METRICS)</t>
  </si>
  <si>
    <t>Tổng số bản ghi đối soát Datapay:</t>
  </si>
  <si>
    <t>6.384 dòng (dữ liệu 26/08 - 03/09/2026)</t>
  </si>
  <si>
    <t>Tổng sản lượng chuyển hàng:</t>
  </si>
  <si>
    <t>49.786,21 kg/đơn vị</t>
  </si>
  <si>
    <t>Tổng sản lượng thực nhận:</t>
  </si>
  <si>
    <t>42.543,14 kg/đơn vị</t>
  </si>
  <si>
    <t>Tổng sản lượng chênh lệch:</t>
  </si>
  <si>
    <t>7.245,60 kg/đơn vị</t>
  </si>
  <si>
    <t>Trạng thái chênh lệch:</t>
  </si>
  <si>
    <t>100% thuộc dạng 'Thiếu Item trong kiện'</t>
  </si>
  <si>
    <t>Tỷ lệ xác nhận từ Kho DC:</t>
  </si>
  <si>
    <t>1.006 ca Đồng ý claim | 75 ca Từ chối | 23 ca Kiểm tra lại</t>
  </si>
  <si>
    <t>DANH SÁCH CHI TIẾT 9 LOẠI LỖI PHÁT SINH DATAPAY (ERROR TYPES)</t>
  </si>
  <si>
    <t>Thống kê từ bảng krc_datapay_records | Phân bổ số lượng chênh lệch và tiền phạt</t>
  </si>
  <si>
    <t>STT</t>
  </si>
  <si>
    <t>Loại Lỗi Datapay (error_type)</t>
  </si>
  <si>
    <t>Số Bản Ghi</t>
  </si>
  <si>
    <t>Lệch SL (kg/đv)</t>
  </si>
  <si>
    <t>Phạt Kho DC (VNĐ)</t>
  </si>
  <si>
    <t>Phạt Siêu Thị (VNĐ)</t>
  </si>
  <si>
    <t>Hao Hụt Tự Nhiên (VNĐ)</t>
  </si>
  <si>
    <t>Ghi Chú Trách Nhiệm</t>
  </si>
  <si>
    <t>DC giao thiếu</t>
  </si>
  <si>
    <t>Kho DC soạn thiếu hàng bên trong thùng/kiện giao ST</t>
  </si>
  <si>
    <t>VT giao sai điểm</t>
  </si>
  <si>
    <t>Tài xế/Đơn vị vận chuyển giao nhầm kiện hàng sang ST khác</t>
  </si>
  <si>
    <t>ST nhập thiếu</t>
  </si>
  <si>
    <t>Siêu thị nhập thiếu thực tế nhận trên hệ thống</t>
  </si>
  <si>
    <t>DC giao bù</t>
  </si>
  <si>
    <t>Kho DC đã giao bù hàng cho đơn trước, phạt cấn trừ ST</t>
  </si>
  <si>
    <t>DC Pick sai</t>
  </si>
  <si>
    <t>Nhân viên nhặt hàng lấy sai mã SKU hàng hóa</t>
  </si>
  <si>
    <t>ST kiểm sai QT</t>
  </si>
  <si>
    <t>Siêu thị kiểm hàng sai quy trình (kiểm trong kiện không rõ SL)</t>
  </si>
  <si>
    <t>ST thông tin sai/không phản hồi</t>
  </si>
  <si>
    <t>ST phản hồi trễ hạn hoặc sai thông tin đối soát</t>
  </si>
  <si>
    <t>DC thao tác sai</t>
  </si>
  <si>
    <t>Kho DC thao tác trạng thái sai lệch trên hệ thống WMS</t>
  </si>
  <si>
    <t>Hao hụt</t>
  </si>
  <si>
    <t>Hao hụt tự nhiên trọng lượng rau củ quả trong định mức cho phép</t>
  </si>
  <si>
    <t/>
  </si>
  <si>
    <t>TỔNG CỘNG</t>
  </si>
  <si>
    <t>TỔNG HỢP DATAPAY THEO NGÀNH HÀNG (CATEGORY V2)</t>
  </si>
  <si>
    <t>Thống kê phân bổ chi phí bồi thường và hao hụt theo từng nhóm sản phẩm</t>
  </si>
  <si>
    <t>Mã Ngành Hàng</t>
  </si>
  <si>
    <t>Tên Ngành Hàng</t>
  </si>
  <si>
    <t>Số Ca</t>
  </si>
  <si>
    <t>Tổng Tiền Phạt (VNĐ)</t>
  </si>
  <si>
    <t>2.VEGETABLES</t>
  </si>
  <si>
    <t>Rau Củ Tươi</t>
  </si>
  <si>
    <t>2.FRUITS</t>
  </si>
  <si>
    <t>Trái Cây</t>
  </si>
  <si>
    <t>2.EGGS</t>
  </si>
  <si>
    <t>Trứng Gia Cầm</t>
  </si>
  <si>
    <t>2.BAKERY</t>
  </si>
  <si>
    <t>Bánh Tươi / Bánh Mì</t>
  </si>
  <si>
    <t>2.FLOWERS</t>
  </si>
  <si>
    <t>Hoa Tươi</t>
  </si>
  <si>
    <t>2.DELICA</t>
  </si>
  <si>
    <t>Hàng Chế Biến Sẵn</t>
  </si>
  <si>
    <t>Khác / Chưa phân loại</t>
  </si>
  <si>
    <t>TỔNG HỢP DATAPAY TỒN KHO VÀ ĐIỀU CHỈNH (RÚT TỒN / TRẢ TỒN)</t>
  </si>
  <si>
    <t>Dữ liệu từ bảng krc_dashboard_slg_adjustments &amp; krc_dashboard_discrepancies</t>
  </si>
  <si>
    <t>1. BẢNG TỔNG HỢP ĐIỀU CHỈNH TỒN KHO THEO TRẠNG THÁI CAMERA &amp; ĐỐI SOÁT</t>
  </si>
  <si>
    <t>Hướng Xử Lý Tồn Kho (tt_cam_st)</t>
  </si>
  <si>
    <t>Tổng Số Ca</t>
  </si>
  <si>
    <t>Số Phiếu Rút Tồn ST (TO)</t>
  </si>
  <si>
    <t>Số Phiếu Trả Tồn ST (PT)</t>
  </si>
  <si>
    <t>Tổng Chênh Lệch Tồn (sp)</t>
  </si>
  <si>
    <t>Ý Nghĩa Nghiệp Vụ</t>
  </si>
  <si>
    <t>Trả tồn về DC</t>
  </si>
  <si>
    <t>Lỗi do Kho DC (giao thiếu, hỏng tại DC). SCM rút tồn ST để trừ tồn ảo ở ST và gán tồn về DC</t>
  </si>
  <si>
    <t>Trả tồn về ST</t>
  </si>
  <si>
    <t>Lỗi do ST (kiểm sai quy trình, không đối chứng camera). Hệ thống trả tồn về ST chịu trách nhiệm</t>
  </si>
  <si>
    <t>DC pick dư</t>
  </si>
  <si>
    <t>DC nhặt thừa hàng so với đơn đặt. SCM tạo phiếu điều chỉnh để cân bằng kho</t>
  </si>
  <si>
    <t>Khác / Chờ xử lý</t>
  </si>
  <si>
    <t>Đang đối chiếu thêm chứng từ và hình ảnh camera</t>
  </si>
  <si>
    <t>2. THỐNG KÊ TIỀN PHÁT SINH TRẢ TỒN THEO THÁNG</t>
  </si>
  <si>
    <t>Thời Gian</t>
  </si>
  <si>
    <t>Số Dòng Đối Soát</t>
  </si>
  <si>
    <t>Tiền Trả Tồn DC (VNĐ)</t>
  </si>
  <si>
    <t>Tiền Trả Tồn ST (VNĐ)</t>
  </si>
  <si>
    <t>Tổng Tiền Trả Tồn (VNĐ)</t>
  </si>
  <si>
    <t>Tháng 09/2026 (đến 03/09)</t>
  </si>
  <si>
    <t>Tháng 08/2026</t>
  </si>
  <si>
    <t>Tháng 07/2026</t>
  </si>
  <si>
    <t>Tháng 06/2026</t>
  </si>
  <si>
    <t>DANH MỤC CÁC BẢNG CDC NGUỒN VÀ BẢNG NGHIỆP VỤ LIÊN QUAN ĐẾN TỒN KHO &amp; DATAPAY</t>
  </si>
  <si>
    <t>Database: kfm_scm | Cấu trúc phân lớp CDC (Lớp raw/replica) và Bảng tổng hợp (Lớp nghiệp vụ)</t>
  </si>
  <si>
    <t>Tên Bảng Trong Database</t>
  </si>
  <si>
    <t>Phân Loại</t>
  </si>
  <si>
    <t>Chức Năng &amp; Ý Nghĩa Nghiệp Vụ</t>
  </si>
  <si>
    <t>__cdc_kfm_kf_inventories_kf_inventory_transaction_stockcard</t>
  </si>
  <si>
    <t>CDC Tồn Kho</t>
  </si>
  <si>
    <t>50.571.092</t>
  </si>
  <si>
    <t>Thẻ kho chi tiết: Theo dõi từng giao dịch nhập/xuất/tồn, tồn trước, tồn sau, đơn vị giá vốn</t>
  </si>
  <si>
    <t>__cdc_kfm_kf_inventories_kf_inventory_transaction_stock_summaries</t>
  </si>
  <si>
    <t>155.820.944</t>
  </si>
  <si>
    <t>Bảng tổng hợp số dư tồn kho thời gian thực theo từng kho/chi nhánh</t>
  </si>
  <si>
    <t>__cdc_kfm_kf_inventories_kf_claim_stock_summaries</t>
  </si>
  <si>
    <t>CDC Hàng Claim</t>
  </si>
  <si>
    <t>2</t>
  </si>
  <si>
    <t>Theo dõi tồn kho đối với các mặt hàng có phát sinh khiếu nại/claim hư hỏng</t>
  </si>
  <si>
    <t>__cdc_kfm_kf_transfer_tickets_kf_transfer_tickets</t>
  </si>
  <si>
    <t>CDC Chuyển Hàng</t>
  </si>
  <si>
    <t>51.504</t>
  </si>
  <si>
    <t>Phiếu chuyển hàng (PT) từ Kho DC đến các siêu thị</t>
  </si>
  <si>
    <t>__cdc_kfm_kf_transfer_tickets_kf_transfer_ticket_lines</t>
  </si>
  <si>
    <t>162.959</t>
  </si>
  <si>
    <t>Chi tiết danh sách mặt hàng và số lượng chuyển trong từng phiếu chuyển</t>
  </si>
  <si>
    <t>__cdc_kfm_kf_inventories_kf_hrw_quality_tickets</t>
  </si>
  <si>
    <t>CDC Chất Lượng</t>
  </si>
  <si>
    <t>21.871</t>
  </si>
  <si>
    <t>Phiếu kiểm định chất lượng hàng hóa, xác nhận tỷ lệ đạt/hỏng</t>
  </si>
  <si>
    <t>__cdc_kfm_kf_inventories_kf_hrw_quality_tickets___items</t>
  </si>
  <si>
    <t>101.632</t>
  </si>
  <si>
    <t>Chi tiết từng mã SKU kiểm định chất lượng</t>
  </si>
  <si>
    <t>krc_dashboard_slg_adjustments</t>
  </si>
  <si>
    <t>Bảng Nghiệp Vụ</t>
  </si>
  <si>
    <t>20.931</t>
  </si>
  <si>
    <t>Tổng hợp điều chỉnh tồn kho: Lưu mã phiếu rút tồn ST (TO), trả tồn ST (PT) và trạng thái camera</t>
  </si>
  <si>
    <t>krc_datapay_records</t>
  </si>
  <si>
    <t>6.383</t>
  </si>
  <si>
    <t>Dữ liệu chi tiết từng ca Datapay: Phân loại 9 lỗi, tiền phạt Kho DC, Siêu thị, hao hụt</t>
  </si>
  <si>
    <t>krc_datapay_summary</t>
  </si>
  <si>
    <t>1</t>
  </si>
  <si>
    <t>Tổng hợp số liệu KPI tài chính Datapay theo từng kỳ đối soát</t>
  </si>
  <si>
    <t>krc_dashboard_discrepancies</t>
  </si>
  <si>
    <t>36.301</t>
  </si>
  <si>
    <t>Bảng đối soát chênh lệch tổng hợp hàng kho và siêu thị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</si>
</sst>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#,##0.0"/>
    <numFmt numFmtId="181" formatCode="0.0%"/>
  </numFmts>
  <fonts count="27">
    <font>
      <sz val="11"/>
      <color theme="1"/>
      <name val="Calibri"/>
      <charset val="134"/>
      <scheme val="minor"/>
    </font>
    <font>
      <b/>
      <sz val="16"/>
      <color rgb="FF1B365D"/>
      <name val="Calibri"/>
      <charset val="134"/>
    </font>
    <font>
      <i/>
      <sz val="11"/>
      <color rgb="FF555555"/>
      <name val="Calibri"/>
      <charset val="134"/>
    </font>
    <font>
      <b/>
      <sz val="11"/>
      <color rgb="FFFFFFFF"/>
      <name val="Calibri"/>
      <charset val="134"/>
    </font>
    <font>
      <sz val="11"/>
      <name val="Calibri"/>
      <charset val="134"/>
    </font>
    <font>
      <b/>
      <sz val="13"/>
      <color rgb="FF1B365D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1B365D"/>
      </top>
      <bottom style="double">
        <color rgb="FF1B365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0" borderId="0" xfId="0" applyFont="1"/>
    <xf numFmtId="3" fontId="4" fillId="0" borderId="1" xfId="0" applyNumberFormat="1" applyFont="1" applyBorder="1" applyAlignment="1">
      <alignment horizontal="right" vertical="center"/>
    </xf>
    <xf numFmtId="180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6" fillId="3" borderId="2" xfId="0" applyFont="1" applyFill="1" applyBorder="1"/>
    <xf numFmtId="3" fontId="6" fillId="3" borderId="2" xfId="0" applyNumberFormat="1" applyFont="1" applyFill="1" applyBorder="1"/>
    <xf numFmtId="4" fontId="6" fillId="3" borderId="2" xfId="0" applyNumberFormat="1" applyFont="1" applyFill="1" applyBorder="1"/>
    <xf numFmtId="181" fontId="4" fillId="0" borderId="1" xfId="0" applyNumberFormat="1" applyFont="1" applyBorder="1" applyAlignment="1">
      <alignment horizontal="right" vertical="center"/>
    </xf>
    <xf numFmtId="3" fontId="6" fillId="3" borderId="2" xfId="0" applyNumberFormat="1" applyFont="1" applyFill="1" applyBorder="1" applyAlignment="1">
      <alignment horizontal="right" vertical="center"/>
    </xf>
    <xf numFmtId="181" fontId="6" fillId="3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D19" sqref="D19"/>
    </sheetView>
  </sheetViews>
  <sheetFormatPr defaultColWidth="9" defaultRowHeight="14.4" outlineLevelCol="3"/>
  <cols>
    <col min="1" max="1" width="38" customWidth="1"/>
    <col min="2" max="2" width="22" customWidth="1"/>
    <col min="3" max="3" width="15" customWidth="1"/>
    <col min="4" max="4" width="75" customWidth="1"/>
  </cols>
  <sheetData>
    <row r="1" ht="21" spans="1:4">
      <c r="A1" s="1" t="s">
        <v>0</v>
      </c>
    </row>
    <row r="2" spans="1:4">
      <c r="A2" s="2" t="s">
        <v>1</v>
      </c>
    </row>
    <row r="4" ht="17.4" spans="1:4">
      <c r="A4" s="7" t="s">
        <v>2</v>
      </c>
    </row>
    <row r="5" spans="1:4">
      <c r="A5" s="3" t="s">
        <v>3</v>
      </c>
      <c r="B5" s="3" t="s">
        <v>4</v>
      </c>
      <c r="C5" s="3" t="s">
        <v>5</v>
      </c>
      <c r="D5" s="3" t="s">
        <v>6</v>
      </c>
    </row>
    <row r="6" spans="1:4">
      <c r="A6" s="5" t="s">
        <v>7</v>
      </c>
      <c r="B6" s="8">
        <v>99854622</v>
      </c>
      <c r="C6" s="15">
        <v>0.8355</v>
      </c>
      <c r="D6" s="5" t="s">
        <v>8</v>
      </c>
    </row>
    <row r="7" spans="1:4">
      <c r="A7" s="5" t="s">
        <v>9</v>
      </c>
      <c r="B7" s="8">
        <v>19659253</v>
      </c>
      <c r="C7" s="15">
        <v>0.1645</v>
      </c>
      <c r="D7" s="5" t="s">
        <v>10</v>
      </c>
    </row>
    <row r="8" spans="1:4">
      <c r="A8" s="5" t="s">
        <v>11</v>
      </c>
      <c r="B8" s="8">
        <v>13744798</v>
      </c>
      <c r="C8" s="4" t="s">
        <v>12</v>
      </c>
      <c r="D8" s="5" t="s">
        <v>13</v>
      </c>
    </row>
    <row r="9" spans="1:4">
      <c r="A9" s="5" t="s">
        <v>14</v>
      </c>
      <c r="B9" s="8">
        <v>0</v>
      </c>
      <c r="C9" s="15">
        <v>0</v>
      </c>
      <c r="D9" s="5" t="s">
        <v>15</v>
      </c>
    </row>
    <row r="10" ht="15.15" spans="1:4">
      <c r="A10" s="12" t="s">
        <v>16</v>
      </c>
      <c r="B10" s="16">
        <v>119513875</v>
      </c>
      <c r="C10" s="17">
        <v>1</v>
      </c>
      <c r="D10" s="12" t="s">
        <v>17</v>
      </c>
    </row>
    <row r="11" ht="15.15"/>
    <row r="12" ht="17.4" spans="1:4">
      <c r="A12" s="7" t="s">
        <v>18</v>
      </c>
    </row>
    <row r="13" spans="1:4">
      <c r="A13" s="18" t="s">
        <v>19</v>
      </c>
      <c r="B13" s="19" t="s">
        <v>20</v>
      </c>
    </row>
    <row r="14" spans="1:4">
      <c r="A14" s="18" t="s">
        <v>21</v>
      </c>
      <c r="B14" s="19" t="s">
        <v>22</v>
      </c>
    </row>
    <row r="15" spans="1:4">
      <c r="A15" s="18" t="s">
        <v>23</v>
      </c>
      <c r="B15" s="19" t="s">
        <v>24</v>
      </c>
    </row>
    <row r="16" spans="1:4">
      <c r="A16" s="18" t="s">
        <v>25</v>
      </c>
      <c r="B16" s="19" t="s">
        <v>26</v>
      </c>
    </row>
    <row r="17" spans="1:2">
      <c r="A17" s="18" t="s">
        <v>27</v>
      </c>
      <c r="B17" s="19" t="s">
        <v>28</v>
      </c>
    </row>
    <row r="18" spans="1:2">
      <c r="A18" s="18" t="s">
        <v>29</v>
      </c>
      <c r="B18" s="19" t="s">
        <v>30</v>
      </c>
    </row>
  </sheetData>
  <mergeCells count="6">
    <mergeCell ref="B13:D13"/>
    <mergeCell ref="B14:D14"/>
    <mergeCell ref="B15:D15"/>
    <mergeCell ref="B16:D16"/>
    <mergeCell ref="B17:D17"/>
    <mergeCell ref="B18:D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E18" sqref="E18"/>
    </sheetView>
  </sheetViews>
  <sheetFormatPr defaultColWidth="9" defaultRowHeight="14.4" outlineLevelCol="7"/>
  <cols>
    <col min="1" max="1" width="8" customWidth="1"/>
    <col min="2" max="2" width="32" customWidth="1"/>
    <col min="3" max="3" width="14" customWidth="1"/>
    <col min="4" max="4" width="16" customWidth="1"/>
    <col min="5" max="6" width="20" customWidth="1"/>
    <col min="7" max="7" width="22" customWidth="1"/>
    <col min="8" max="8" width="65" customWidth="1"/>
  </cols>
  <sheetData>
    <row r="1" ht="21" spans="1:8">
      <c r="A1" s="1" t="s">
        <v>31</v>
      </c>
    </row>
    <row r="2" spans="1:8">
      <c r="A2" s="2" t="s">
        <v>32</v>
      </c>
    </row>
    <row r="4" spans="1:8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</row>
    <row r="5" spans="1:8">
      <c r="A5" s="4">
        <v>1</v>
      </c>
      <c r="B5" s="5" t="s">
        <v>41</v>
      </c>
      <c r="C5" s="8">
        <v>1936</v>
      </c>
      <c r="D5" s="10">
        <v>4433.27</v>
      </c>
      <c r="E5" s="8">
        <v>75104604</v>
      </c>
      <c r="F5" s="8">
        <v>0</v>
      </c>
      <c r="G5" s="8">
        <v>0</v>
      </c>
      <c r="H5" s="5" t="s">
        <v>42</v>
      </c>
    </row>
    <row r="6" spans="1:8">
      <c r="A6" s="4">
        <v>2</v>
      </c>
      <c r="B6" s="5" t="s">
        <v>43</v>
      </c>
      <c r="C6" s="8">
        <v>304</v>
      </c>
      <c r="D6" s="10">
        <v>1042.1</v>
      </c>
      <c r="E6" s="8">
        <v>18645731</v>
      </c>
      <c r="F6" s="8">
        <v>0</v>
      </c>
      <c r="G6" s="8">
        <v>0</v>
      </c>
      <c r="H6" s="5" t="s">
        <v>44</v>
      </c>
    </row>
    <row r="7" spans="1:8">
      <c r="A7" s="4">
        <v>3</v>
      </c>
      <c r="B7" s="5" t="s">
        <v>45</v>
      </c>
      <c r="C7" s="8">
        <v>129</v>
      </c>
      <c r="D7" s="10">
        <v>471.65</v>
      </c>
      <c r="E7" s="8">
        <v>229079</v>
      </c>
      <c r="F7" s="8">
        <v>9477629</v>
      </c>
      <c r="G7" s="8">
        <v>45750</v>
      </c>
      <c r="H7" s="5" t="s">
        <v>46</v>
      </c>
    </row>
    <row r="8" spans="1:8">
      <c r="A8" s="4">
        <v>4</v>
      </c>
      <c r="B8" s="5" t="s">
        <v>47</v>
      </c>
      <c r="C8" s="8">
        <v>84</v>
      </c>
      <c r="D8" s="10">
        <v>559.2</v>
      </c>
      <c r="E8" s="8">
        <v>166018</v>
      </c>
      <c r="F8" s="8">
        <v>9258594</v>
      </c>
      <c r="G8" s="8">
        <v>3424</v>
      </c>
      <c r="H8" s="5" t="s">
        <v>48</v>
      </c>
    </row>
    <row r="9" spans="1:8">
      <c r="A9" s="4">
        <v>5</v>
      </c>
      <c r="B9" s="5" t="s">
        <v>49</v>
      </c>
      <c r="C9" s="8">
        <v>52</v>
      </c>
      <c r="D9" s="10">
        <v>338.1</v>
      </c>
      <c r="E9" s="8">
        <v>5709190</v>
      </c>
      <c r="F9" s="8">
        <v>0</v>
      </c>
      <c r="G9" s="8">
        <v>0</v>
      </c>
      <c r="H9" s="5" t="s">
        <v>50</v>
      </c>
    </row>
    <row r="10" spans="1:8">
      <c r="A10" s="4">
        <v>6</v>
      </c>
      <c r="B10" s="5" t="s">
        <v>51</v>
      </c>
      <c r="C10" s="8">
        <v>50</v>
      </c>
      <c r="D10" s="10">
        <v>12.8</v>
      </c>
      <c r="E10" s="8">
        <v>0</v>
      </c>
      <c r="F10" s="8">
        <v>418039</v>
      </c>
      <c r="G10" s="8">
        <v>0</v>
      </c>
      <c r="H10" s="5" t="s">
        <v>52</v>
      </c>
    </row>
    <row r="11" spans="1:8">
      <c r="A11" s="4">
        <v>7</v>
      </c>
      <c r="B11" s="5" t="s">
        <v>53</v>
      </c>
      <c r="C11" s="8">
        <v>4</v>
      </c>
      <c r="D11" s="10">
        <v>22</v>
      </c>
      <c r="E11" s="8">
        <v>0</v>
      </c>
      <c r="F11" s="8">
        <v>309250</v>
      </c>
      <c r="G11" s="8">
        <v>0</v>
      </c>
      <c r="H11" s="5" t="s">
        <v>54</v>
      </c>
    </row>
    <row r="12" spans="1:8">
      <c r="A12" s="4">
        <v>8</v>
      </c>
      <c r="B12" s="5" t="s">
        <v>55</v>
      </c>
      <c r="C12" s="8">
        <v>4</v>
      </c>
      <c r="D12" s="10">
        <v>8.7</v>
      </c>
      <c r="E12" s="8">
        <v>0</v>
      </c>
      <c r="F12" s="8">
        <v>195741</v>
      </c>
      <c r="G12" s="8">
        <v>0</v>
      </c>
      <c r="H12" s="5" t="s">
        <v>56</v>
      </c>
    </row>
    <row r="13" spans="1:8">
      <c r="A13" s="4">
        <v>9</v>
      </c>
      <c r="B13" s="5" t="s">
        <v>57</v>
      </c>
      <c r="C13" s="8">
        <v>3820</v>
      </c>
      <c r="D13" s="10">
        <v>357.78</v>
      </c>
      <c r="E13" s="8">
        <v>0</v>
      </c>
      <c r="F13" s="8">
        <v>0</v>
      </c>
      <c r="G13" s="8">
        <v>13695624</v>
      </c>
      <c r="H13" s="5" t="s">
        <v>58</v>
      </c>
    </row>
    <row r="14" ht="15.15" spans="1:8">
      <c r="A14" s="11" t="s">
        <v>59</v>
      </c>
      <c r="B14" s="12" t="s">
        <v>60</v>
      </c>
      <c r="C14" s="13">
        <f>SUM(C5:C13)</f>
        <v>6383</v>
      </c>
      <c r="D14" s="14">
        <f>SUM(D5:D13)</f>
        <v>7245.6</v>
      </c>
      <c r="E14" s="13">
        <f>SUM(E5:E13)</f>
        <v>99854622</v>
      </c>
      <c r="F14" s="13">
        <f>SUM(F5:F13)</f>
        <v>19659253</v>
      </c>
      <c r="G14" s="13">
        <f>SUM(G5:G13)</f>
        <v>13744798</v>
      </c>
      <c r="H14" s="12" t="s">
        <v>59</v>
      </c>
    </row>
    <row r="15" ht="15.15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"/>
    </sheetView>
  </sheetViews>
  <sheetFormatPr defaultColWidth="9" defaultRowHeight="14.4" outlineLevelCol="7"/>
  <cols>
    <col min="1" max="1" width="8" customWidth="1"/>
    <col min="2" max="2" width="20" customWidth="1"/>
    <col min="3" max="3" width="25" customWidth="1"/>
    <col min="4" max="4" width="14" customWidth="1"/>
    <col min="5" max="6" width="20" customWidth="1"/>
    <col min="7" max="7" width="22" customWidth="1"/>
    <col min="8" max="8" width="24" customWidth="1"/>
  </cols>
  <sheetData>
    <row r="1" ht="21" spans="1:8">
      <c r="A1" s="1" t="s">
        <v>61</v>
      </c>
    </row>
    <row r="2" spans="1:8">
      <c r="A2" s="2" t="s">
        <v>62</v>
      </c>
    </row>
    <row r="4" spans="1:8">
      <c r="A4" s="3" t="s">
        <v>33</v>
      </c>
      <c r="B4" s="3" t="s">
        <v>63</v>
      </c>
      <c r="C4" s="3" t="s">
        <v>64</v>
      </c>
      <c r="D4" s="3" t="s">
        <v>65</v>
      </c>
      <c r="E4" s="3" t="s">
        <v>37</v>
      </c>
      <c r="F4" s="3" t="s">
        <v>38</v>
      </c>
      <c r="G4" s="3" t="s">
        <v>66</v>
      </c>
      <c r="H4" s="3" t="s">
        <v>39</v>
      </c>
    </row>
    <row r="5" spans="1:8">
      <c r="A5" s="4">
        <v>1</v>
      </c>
      <c r="B5" s="5" t="s">
        <v>67</v>
      </c>
      <c r="C5" s="5" t="s">
        <v>68</v>
      </c>
      <c r="D5" s="8">
        <v>2674</v>
      </c>
      <c r="E5" s="8">
        <v>58955377</v>
      </c>
      <c r="F5" s="8">
        <v>8567246</v>
      </c>
      <c r="G5" s="8">
        <v>67522623</v>
      </c>
      <c r="H5" s="8">
        <v>3650949</v>
      </c>
    </row>
    <row r="6" spans="1:8">
      <c r="A6" s="4">
        <v>2</v>
      </c>
      <c r="B6" s="5" t="s">
        <v>69</v>
      </c>
      <c r="C6" s="5" t="s">
        <v>70</v>
      </c>
      <c r="D6" s="8">
        <v>3504</v>
      </c>
      <c r="E6" s="8">
        <v>26965502</v>
      </c>
      <c r="F6" s="8">
        <v>6905305</v>
      </c>
      <c r="G6" s="8">
        <v>33870807</v>
      </c>
      <c r="H6" s="8">
        <v>10093849</v>
      </c>
    </row>
    <row r="7" spans="1:8">
      <c r="A7" s="4">
        <v>3</v>
      </c>
      <c r="B7" s="5" t="s">
        <v>71</v>
      </c>
      <c r="C7" s="5" t="s">
        <v>72</v>
      </c>
      <c r="D7" s="8">
        <v>61</v>
      </c>
      <c r="E7" s="8">
        <v>9756326</v>
      </c>
      <c r="F7" s="8">
        <v>3542711</v>
      </c>
      <c r="G7" s="8">
        <v>13299037</v>
      </c>
      <c r="H7" s="8">
        <v>0</v>
      </c>
    </row>
    <row r="8" spans="1:8">
      <c r="A8" s="4">
        <v>4</v>
      </c>
      <c r="B8" s="5" t="s">
        <v>73</v>
      </c>
      <c r="C8" s="5" t="s">
        <v>74</v>
      </c>
      <c r="D8" s="8">
        <v>117</v>
      </c>
      <c r="E8" s="8">
        <v>3206066</v>
      </c>
      <c r="F8" s="8">
        <v>576612</v>
      </c>
      <c r="G8" s="8">
        <v>3782678</v>
      </c>
      <c r="H8" s="8">
        <v>0</v>
      </c>
    </row>
    <row r="9" spans="1:8">
      <c r="A9" s="4">
        <v>5</v>
      </c>
      <c r="B9" s="5" t="s">
        <v>75</v>
      </c>
      <c r="C9" s="5" t="s">
        <v>76</v>
      </c>
      <c r="D9" s="8">
        <v>2</v>
      </c>
      <c r="E9" s="8">
        <v>689414</v>
      </c>
      <c r="F9" s="8">
        <v>0</v>
      </c>
      <c r="G9" s="8">
        <v>689414</v>
      </c>
      <c r="H9" s="8">
        <v>0</v>
      </c>
    </row>
    <row r="10" spans="1:8">
      <c r="A10" s="4">
        <v>6</v>
      </c>
      <c r="B10" s="5" t="s">
        <v>77</v>
      </c>
      <c r="C10" s="5" t="s">
        <v>78</v>
      </c>
      <c r="D10" s="8">
        <v>24</v>
      </c>
      <c r="E10" s="8">
        <v>281937</v>
      </c>
      <c r="F10" s="8">
        <v>67379</v>
      </c>
      <c r="G10" s="8">
        <v>349316</v>
      </c>
      <c r="H10" s="8">
        <v>0</v>
      </c>
    </row>
    <row r="11" spans="1:8">
      <c r="A11" s="4">
        <v>7</v>
      </c>
      <c r="B11" s="5" t="e">
        <v>#N/A</v>
      </c>
      <c r="C11" s="5" t="s">
        <v>79</v>
      </c>
      <c r="D11" s="8">
        <v>1</v>
      </c>
      <c r="E11" s="8">
        <v>0</v>
      </c>
      <c r="F11" s="8">
        <v>0</v>
      </c>
      <c r="G11" s="8">
        <v>0</v>
      </c>
      <c r="H11" s="8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C21" sqref="C21"/>
    </sheetView>
  </sheetViews>
  <sheetFormatPr defaultColWidth="9" defaultRowHeight="14.4" outlineLevelCol="5"/>
  <cols>
    <col min="1" max="1" width="30" customWidth="1"/>
    <col min="2" max="2" width="16" customWidth="1"/>
    <col min="3" max="4" width="26" customWidth="1"/>
    <col min="5" max="5" width="25" customWidth="1"/>
    <col min="6" max="6" width="85" customWidth="1"/>
  </cols>
  <sheetData>
    <row r="1" ht="21" spans="1:6">
      <c r="A1" s="1" t="s">
        <v>80</v>
      </c>
    </row>
    <row r="2" spans="1:6">
      <c r="A2" s="2" t="s">
        <v>81</v>
      </c>
    </row>
    <row r="4" ht="17.4" spans="1:6">
      <c r="A4" s="7" t="s">
        <v>82</v>
      </c>
    </row>
    <row r="5" spans="1:6">
      <c r="A5" s="3" t="s">
        <v>83</v>
      </c>
      <c r="B5" s="3" t="s">
        <v>84</v>
      </c>
      <c r="C5" s="3" t="s">
        <v>85</v>
      </c>
      <c r="D5" s="3" t="s">
        <v>86</v>
      </c>
      <c r="E5" s="3" t="s">
        <v>87</v>
      </c>
      <c r="F5" s="3" t="s">
        <v>88</v>
      </c>
    </row>
    <row r="6" spans="1:6">
      <c r="A6" s="5" t="s">
        <v>89</v>
      </c>
      <c r="B6" s="8">
        <v>16532</v>
      </c>
      <c r="C6" s="8">
        <v>16527</v>
      </c>
      <c r="D6" s="8">
        <v>106</v>
      </c>
      <c r="E6" s="9">
        <v>-67229</v>
      </c>
      <c r="F6" s="5" t="s">
        <v>90</v>
      </c>
    </row>
    <row r="7" spans="1:6">
      <c r="A7" s="5" t="s">
        <v>91</v>
      </c>
      <c r="B7" s="8">
        <v>3820</v>
      </c>
      <c r="C7" s="8">
        <v>3638</v>
      </c>
      <c r="D7" s="8">
        <v>2757</v>
      </c>
      <c r="E7" s="9">
        <v>-27160.1</v>
      </c>
      <c r="F7" s="5" t="s">
        <v>92</v>
      </c>
    </row>
    <row r="8" spans="1:6">
      <c r="A8" s="5" t="s">
        <v>93</v>
      </c>
      <c r="B8" s="8">
        <v>548</v>
      </c>
      <c r="C8" s="8">
        <v>548</v>
      </c>
      <c r="D8" s="8">
        <v>128</v>
      </c>
      <c r="E8" s="9">
        <v>1244</v>
      </c>
      <c r="F8" s="5" t="s">
        <v>94</v>
      </c>
    </row>
    <row r="9" spans="1:6">
      <c r="A9" s="5" t="s">
        <v>95</v>
      </c>
      <c r="B9" s="8">
        <v>31</v>
      </c>
      <c r="C9" s="8">
        <v>27</v>
      </c>
      <c r="D9" s="8">
        <v>0</v>
      </c>
      <c r="E9" s="9">
        <v>-197</v>
      </c>
      <c r="F9" s="5" t="s">
        <v>96</v>
      </c>
    </row>
    <row r="12" ht="17.4" spans="1:6">
      <c r="A12" s="7" t="s">
        <v>97</v>
      </c>
    </row>
    <row r="13" spans="1:6">
      <c r="A13" s="3" t="s">
        <v>98</v>
      </c>
      <c r="B13" s="3" t="s">
        <v>99</v>
      </c>
      <c r="C13" s="3" t="s">
        <v>100</v>
      </c>
      <c r="D13" s="3" t="s">
        <v>101</v>
      </c>
      <c r="E13" s="3" t="s">
        <v>102</v>
      </c>
    </row>
    <row r="14" spans="1:6">
      <c r="A14" s="5" t="s">
        <v>103</v>
      </c>
      <c r="B14" s="8">
        <v>905</v>
      </c>
      <c r="C14" s="8">
        <v>37965731</v>
      </c>
      <c r="D14" s="8">
        <v>7642447</v>
      </c>
      <c r="E14" s="8">
        <v>45608178</v>
      </c>
    </row>
    <row r="15" spans="1:6">
      <c r="A15" s="5" t="s">
        <v>104</v>
      </c>
      <c r="B15" s="8">
        <v>1657</v>
      </c>
      <c r="C15" s="8">
        <v>61888891</v>
      </c>
      <c r="D15" s="8">
        <v>12016806</v>
      </c>
      <c r="E15" s="8">
        <v>73905697</v>
      </c>
    </row>
    <row r="16" spans="1:6">
      <c r="A16" s="5" t="s">
        <v>105</v>
      </c>
      <c r="B16" s="8">
        <v>16278</v>
      </c>
      <c r="C16" s="8">
        <v>145525</v>
      </c>
      <c r="D16" s="8">
        <v>1857401</v>
      </c>
      <c r="E16" s="8">
        <v>2002926</v>
      </c>
    </row>
    <row r="17" spans="1:5">
      <c r="A17" s="5" t="s">
        <v>106</v>
      </c>
      <c r="B17" s="8">
        <v>4097</v>
      </c>
      <c r="C17" s="8">
        <v>47232</v>
      </c>
      <c r="D17" s="8">
        <v>452707</v>
      </c>
      <c r="E17" s="8">
        <v>499939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E11" sqref="E11"/>
    </sheetView>
  </sheetViews>
  <sheetFormatPr defaultColWidth="9" defaultRowHeight="14.4" outlineLevelCol="4"/>
  <cols>
    <col min="1" max="1" width="8" customWidth="1"/>
    <col min="2" max="2" width="68" customWidth="1"/>
    <col min="3" max="3" width="18" customWidth="1"/>
    <col min="4" max="4" width="16" customWidth="1"/>
    <col min="5" max="5" width="85" customWidth="1"/>
  </cols>
  <sheetData>
    <row r="1" ht="21" spans="1:5">
      <c r="A1" s="1" t="s">
        <v>107</v>
      </c>
    </row>
    <row r="2" spans="1:5">
      <c r="A2" s="2" t="s">
        <v>108</v>
      </c>
    </row>
    <row r="4" spans="1:5">
      <c r="A4" s="3" t="s">
        <v>33</v>
      </c>
      <c r="B4" s="3" t="s">
        <v>109</v>
      </c>
      <c r="C4" s="3" t="s">
        <v>110</v>
      </c>
      <c r="D4" s="3" t="s">
        <v>35</v>
      </c>
      <c r="E4" s="3" t="s">
        <v>111</v>
      </c>
    </row>
    <row r="5" spans="1:5">
      <c r="A5" s="4">
        <v>1</v>
      </c>
      <c r="B5" s="5" t="s">
        <v>112</v>
      </c>
      <c r="C5" s="4" t="s">
        <v>113</v>
      </c>
      <c r="D5" s="6" t="s">
        <v>114</v>
      </c>
      <c r="E5" s="5" t="s">
        <v>115</v>
      </c>
    </row>
    <row r="6" spans="1:5">
      <c r="A6" s="4">
        <v>2</v>
      </c>
      <c r="B6" s="5" t="s">
        <v>116</v>
      </c>
      <c r="C6" s="4" t="s">
        <v>113</v>
      </c>
      <c r="D6" s="6" t="s">
        <v>117</v>
      </c>
      <c r="E6" s="5" t="s">
        <v>118</v>
      </c>
    </row>
    <row r="7" spans="1:5">
      <c r="A7" s="4">
        <v>3</v>
      </c>
      <c r="B7" s="5" t="s">
        <v>119</v>
      </c>
      <c r="C7" s="4" t="s">
        <v>120</v>
      </c>
      <c r="D7" s="6" t="s">
        <v>121</v>
      </c>
      <c r="E7" s="5" t="s">
        <v>122</v>
      </c>
    </row>
    <row r="8" spans="1:5">
      <c r="A8" s="4">
        <v>4</v>
      </c>
      <c r="B8" s="5" t="s">
        <v>123</v>
      </c>
      <c r="C8" s="4" t="s">
        <v>124</v>
      </c>
      <c r="D8" s="6" t="s">
        <v>125</v>
      </c>
      <c r="E8" s="5" t="s">
        <v>126</v>
      </c>
    </row>
    <row r="9" spans="1:5">
      <c r="A9" s="4">
        <v>5</v>
      </c>
      <c r="B9" s="5" t="s">
        <v>127</v>
      </c>
      <c r="C9" s="4" t="s">
        <v>124</v>
      </c>
      <c r="D9" s="6" t="s">
        <v>128</v>
      </c>
      <c r="E9" s="5" t="s">
        <v>129</v>
      </c>
    </row>
    <row r="10" spans="1:5">
      <c r="A10" s="4">
        <v>6</v>
      </c>
      <c r="B10" s="5" t="s">
        <v>130</v>
      </c>
      <c r="C10" s="4" t="s">
        <v>131</v>
      </c>
      <c r="D10" s="6" t="s">
        <v>132</v>
      </c>
      <c r="E10" s="5" t="s">
        <v>133</v>
      </c>
    </row>
    <row r="11" spans="1:5">
      <c r="A11" s="4">
        <v>7</v>
      </c>
      <c r="B11" s="5" t="s">
        <v>134</v>
      </c>
      <c r="C11" s="4" t="s">
        <v>131</v>
      </c>
      <c r="D11" s="6" t="s">
        <v>135</v>
      </c>
      <c r="E11" s="5" t="s">
        <v>136</v>
      </c>
    </row>
    <row r="12" spans="1:5">
      <c r="A12" s="4">
        <v>8</v>
      </c>
      <c r="B12" s="5" t="s">
        <v>137</v>
      </c>
      <c r="C12" s="4" t="s">
        <v>138</v>
      </c>
      <c r="D12" s="6" t="s">
        <v>139</v>
      </c>
      <c r="E12" s="5" t="s">
        <v>140</v>
      </c>
    </row>
    <row r="13" spans="1:5">
      <c r="A13" s="4">
        <v>9</v>
      </c>
      <c r="B13" s="5" t="s">
        <v>141</v>
      </c>
      <c r="C13" s="4" t="s">
        <v>138</v>
      </c>
      <c r="D13" s="6" t="s">
        <v>142</v>
      </c>
      <c r="E13" s="5" t="s">
        <v>143</v>
      </c>
    </row>
    <row r="14" spans="1:5">
      <c r="A14" s="4">
        <v>10</v>
      </c>
      <c r="B14" s="5" t="s">
        <v>144</v>
      </c>
      <c r="C14" s="4" t="s">
        <v>138</v>
      </c>
      <c r="D14" s="6" t="s">
        <v>145</v>
      </c>
      <c r="E14" s="5" t="s">
        <v>146</v>
      </c>
    </row>
    <row r="15" spans="1:5">
      <c r="A15" s="4">
        <v>11</v>
      </c>
      <c r="B15" s="5" t="s">
        <v>147</v>
      </c>
      <c r="C15" s="4" t="s">
        <v>138</v>
      </c>
      <c r="D15" s="6" t="s">
        <v>148</v>
      </c>
      <c r="E15" s="5" t="s">
        <v>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Tổng Quan &amp; KPI</vt:lpstr>
      <vt:lpstr>Chi Tiết Loại Lỗi</vt:lpstr>
      <vt:lpstr>Ngành Hàng</vt:lpstr>
      <vt:lpstr>Datapay Tồn Kho</vt:lpstr>
      <vt:lpstr>Danh Mục Bảng CDC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Ny</cp:lastModifiedBy>
  <dcterms:created xsi:type="dcterms:W3CDTF">2026-09-04T09:52:00Z</dcterms:created>
  <dcterms:modified xsi:type="dcterms:W3CDTF">2026-09-05T08:27:40Z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95A60B1ACCE34466BDC79ED59F065D12_13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